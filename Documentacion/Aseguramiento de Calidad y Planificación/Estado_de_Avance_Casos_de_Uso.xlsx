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EGA FINAL" sheetId="1" state="visible" r:id="rId3"/>
  </sheets>
  <definedNames>
    <definedName function="false" hidden="false" localSheetId="0" name="_xlnm.Print_Titles" vbProcedure="false">'ENTREGA FINAL'!$18:$18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<sst xmlns="http://schemas.openxmlformats.org/spreadsheetml/2006/main" count="154" uniqueCount="124">
  <si>
    <t xml:space="preserve">MyGuest v2.0 — Sistema de Gestión Logística</t>
  </si>
  <si>
    <t xml:space="preserve">Estado de Avance de Casos de Uso — ENTREGA FINAL</t>
  </si>
  <si>
    <t xml:space="preserve">Problema asignado:</t>
  </si>
  <si>
    <t xml:space="preserve">Gestión manual de inventario, compras y ejecución académica en la operación de bodega de la Carrera de Gastronomía.</t>
  </si>
  <si>
    <t xml:space="preserve">Integrantes:</t>
  </si>
  <si>
    <t xml:space="preserve">1.- Camilo Ignacio (Cirawx) — Frontend</t>
  </si>
  <si>
    <t xml:space="preserve">2.- Nibaldo Araya (NibScript) — Backend y Documentación</t>
  </si>
  <si>
    <t xml:space="preserve">3.- Diego Benavides (gatozz) — Frontend</t>
  </si>
  <si>
    <t xml:space="preserve">4.- Claudio Molina (ClaudioMolina27) — Backend y Base de Datos</t>
  </si>
  <si>
    <t xml:space="preserve">Estado del Proyecto:</t>
  </si>
  <si>
    <t xml:space="preserve">Entrega Final — Sistema completo, desplegado y validado mediante pruebas de funcionalidad.</t>
  </si>
  <si>
    <t xml:space="preserve">N° Caso de Uso</t>
  </si>
  <si>
    <t xml:space="preserve">Nombre Caso de Uso</t>
  </si>
  <si>
    <t xml:space="preserve">Actor(es)</t>
  </si>
  <si>
    <t xml:space="preserve">Módulo Asociado</t>
  </si>
  <si>
    <t xml:space="preserve">Porcentaje de Avance</t>
  </si>
  <si>
    <t xml:space="preserve">Observación de lo Avanzado</t>
  </si>
  <si>
    <t xml:space="preserve">CU1</t>
  </si>
  <si>
    <t xml:space="preserve">Iniciar Sesión (Autenticación)</t>
  </si>
  <si>
    <t xml:space="preserve">Administrador TI, Admin Carrera, Docente, Bodeguero</t>
  </si>
  <si>
    <t xml:space="preserve">Usuarios</t>
  </si>
  <si>
    <t xml:space="preserve">Login mediante JWT con validación de correo institucional y contraseña; sesión persistente tras recarga de página.</t>
  </si>
  <si>
    <t xml:space="preserve">CU2</t>
  </si>
  <si>
    <t xml:space="preserve">Registrar Nuevo Usuario</t>
  </si>
  <si>
    <t xml:space="preserve">Administrador</t>
  </si>
  <si>
    <t xml:space="preserve">Creación de usuarios con validación de dominio institucional, contraseña segura y asignación de rol y carrera.</t>
  </si>
  <si>
    <t xml:space="preserve">CU3</t>
  </si>
  <si>
    <t xml:space="preserve">Editar Datos de Usuario</t>
  </si>
  <si>
    <t xml:space="preserve">Edición de nombre, correo, perfil y carrera de un usuario existente desde el listado.</t>
  </si>
  <si>
    <t xml:space="preserve">CU4</t>
  </si>
  <si>
    <t xml:space="preserve">Gestionar Roles y Permisos por Módulo</t>
  </si>
  <si>
    <t xml:space="preserve">Matriz de permisos (Ver/Crear/Editar/Eliminar) por rol y módulo, aplicada en menú, botones de acción y rutas.</t>
  </si>
  <si>
    <t xml:space="preserve">CU5</t>
  </si>
  <si>
    <t xml:space="preserve">Recuperar Contraseña por Correo</t>
  </si>
  <si>
    <t xml:space="preserve">Todos los roles</t>
  </si>
  <si>
    <t xml:space="preserve">Flujo de recuperación de contraseña mediante token temporal enviado por correo (integración con Brevo).</t>
  </si>
  <si>
    <t xml:space="preserve">CU6</t>
  </si>
  <si>
    <t xml:space="preserve">Reemplazar Docente en Talleres Asignados</t>
  </si>
  <si>
    <t xml:space="preserve">Usuarios / Académico</t>
  </si>
  <si>
    <t xml:space="preserve">Reasignación masiva de todos los talleres programados de un docente hacia otro docente seleccionado.</t>
  </si>
  <si>
    <t xml:space="preserve">CU7</t>
  </si>
  <si>
    <t xml:space="preserve">Registrar y Editar Proveedores</t>
  </si>
  <si>
    <t xml:space="preserve">Administrador, Bodeguero</t>
  </si>
  <si>
    <t xml:space="preserve">Proveedores</t>
  </si>
  <si>
    <t xml:space="preserve">Alta, edición y activación/desactivación de proveedores con RUT, contacto, email y teléfono.</t>
  </si>
  <si>
    <t xml:space="preserve">CU8</t>
  </si>
  <si>
    <t xml:space="preserve">Gestionar Familias de Productos</t>
  </si>
  <si>
    <t xml:space="preserve">Creación y edición de familias de productos, con visualización del proveedor asociado y sus datos completos.</t>
  </si>
  <si>
    <t xml:space="preserve">CU9</t>
  </si>
  <si>
    <t xml:space="preserve">Gestionar Catálogo de Productos por Categoría</t>
  </si>
  <si>
    <t xml:space="preserve">Inventario</t>
  </si>
  <si>
    <t xml:space="preserve">Alta, edición y eliminación de productos, con filtro y agrupación por categoría (Abarrotes, Carnes, etc.).</t>
  </si>
  <si>
    <t xml:space="preserve">CU10</t>
  </si>
  <si>
    <t xml:space="preserve">Consultar Stock y Configurar Stock Mínimo</t>
  </si>
  <si>
    <t xml:space="preserve">Administrador, Bodeguero, Docente</t>
  </si>
  <si>
    <t xml:space="preserve">Visualización de stock actual por producto y configuración del umbral de stock mínimo para alertas.</t>
  </si>
  <si>
    <t xml:space="preserve">CU11</t>
  </si>
  <si>
    <t xml:space="preserve">Consultar Recetario y Detalle de Ingredientes</t>
  </si>
  <si>
    <t xml:space="preserve">Administrador, Docente, Bodeguero</t>
  </si>
  <si>
    <t xml:space="preserve">Recetario</t>
  </si>
  <si>
    <t xml:space="preserve">Listado de recetas por taller con ingredientes, cantidades, unidad de medida y costo estimado.</t>
  </si>
  <si>
    <t xml:space="preserve">CU12</t>
  </si>
  <si>
    <t xml:space="preserve">Escalar Receta según N° de Alumnos</t>
  </si>
  <si>
    <t xml:space="preserve">Administrador, Docente</t>
  </si>
  <si>
    <t xml:space="preserve">Recalculo automático de cantidades de ingredientes y costo total según el número de alumnos ingresado.</t>
  </si>
  <si>
    <t xml:space="preserve">CU13</t>
  </si>
  <si>
    <t xml:space="preserve">Verificar Disponibilidad de Stock para una Receta</t>
  </si>
  <si>
    <t xml:space="preserve">Comparación de la cantidad necesaria de cada ingrediente contra el stock actual, indicando si la receta es ejecutable.</t>
  </si>
  <si>
    <t xml:space="preserve">CU14</t>
  </si>
  <si>
    <t xml:space="preserve">Registrar Factura de Mercadería (Manual)</t>
  </si>
  <si>
    <t xml:space="preserve">Facturación</t>
  </si>
  <si>
    <t xml:space="preserve">Ingreso manual de facturas con detalle de productos, cantidades, precios y fecha de vencimiento.</t>
  </si>
  <si>
    <t xml:space="preserve">CU15</t>
  </si>
  <si>
    <t xml:space="preserve">Extraer Datos de Factura mediante IA</t>
  </si>
  <si>
    <t xml:space="preserve">Ingesta Inteligente</t>
  </si>
  <si>
    <t xml:space="preserve">Carga de imagen/PDF de factura y extracción automática de datos mediante Gemini AI, con respaldo OCR (Tesseract).</t>
  </si>
  <si>
    <t xml:space="preserve">CU16</t>
  </si>
  <si>
    <t xml:space="preserve">Validar y Asociar Productos Extraídos al Catálogo</t>
  </si>
  <si>
    <t xml:space="preserve">Vista de validación en pantalla dividida (documento + datos extraídos) y búsqueda libre para asociar productos al catálogo.</t>
  </si>
  <si>
    <t xml:space="preserve">CU17</t>
  </si>
  <si>
    <t xml:space="preserve">Actualizar Stock Automáticamente al Registrar Factura</t>
  </si>
  <si>
    <t xml:space="preserve">Sistema</t>
  </si>
  <si>
    <t xml:space="preserve">Inventario / Facturación</t>
  </si>
  <si>
    <t xml:space="preserve">Trigger de base de datos que incrementa el stock de cada producto al confirmarse una factura.</t>
  </si>
  <si>
    <t xml:space="preserve">CU18</t>
  </si>
  <si>
    <t xml:space="preserve">Crear y Gestionar Órdenes de Compra</t>
  </si>
  <si>
    <t xml:space="preserve">Compras</t>
  </si>
  <si>
    <t xml:space="preserve">Creación de órdenes de compra con proveedor, fecha de entrega estimada y seguimiento de estado.</t>
  </si>
  <si>
    <t xml:space="preserve">CU19</t>
  </si>
  <si>
    <t xml:space="preserve">Crear Programación de Asignatura</t>
  </si>
  <si>
    <t xml:space="preserve">Académico</t>
  </si>
  <si>
    <t xml:space="preserve">Registro de la programación de una asignatura por año, período y sección.</t>
  </si>
  <si>
    <t xml:space="preserve">CU20</t>
  </si>
  <si>
    <t xml:space="preserve">Programar Ejecución de Taller</t>
  </si>
  <si>
    <t xml:space="preserve">Asignación de fecha, taller y docente responsable a una programación de asignatura existente, con selector inteligente de asignaturas disponibles.</t>
  </si>
  <si>
    <t xml:space="preserve">CU21</t>
  </si>
  <si>
    <t xml:space="preserve">Registrar Ejecución de Taller y Consumo de Insumos</t>
  </si>
  <si>
    <t xml:space="preserve">Docente</t>
  </si>
  <si>
    <t xml:space="preserve">Registro de la ejecución real de un taller programado, detallando los productos e insumos consumidos.</t>
  </si>
  <si>
    <t xml:space="preserve">CU22</t>
  </si>
  <si>
    <t xml:space="preserve">Descontar Stock Automáticamente al Ejecutar Taller</t>
  </si>
  <si>
    <t xml:space="preserve">Inventario / Académico</t>
  </si>
  <si>
    <t xml:space="preserve">Trigger de base de datos que descuenta el stock de los insumos consumidos al registrar la ejecución de un taller.</t>
  </si>
  <si>
    <t xml:space="preserve">CU23</t>
  </si>
  <si>
    <t xml:space="preserve">Registrar Mermas y Calcular Valor de la Pérdida</t>
  </si>
  <si>
    <t xml:space="preserve">Mermas</t>
  </si>
  <si>
    <t xml:space="preserve">Registro de pérdidas de producto por motivo, con cálculo automático del valor monetario de la merma.</t>
  </si>
  <si>
    <t xml:space="preserve">CU24</t>
  </si>
  <si>
    <t xml:space="preserve">Registrar Devolución de Insumos Sobrantes</t>
  </si>
  <si>
    <t xml:space="preserve">Devoluciones</t>
  </si>
  <si>
    <t xml:space="preserve">Registro de insumos sobrantes devueltos tras la ejecución de un taller, vinculado al registro de ejecución correspondiente.</t>
  </si>
  <si>
    <t xml:space="preserve">CU25</t>
  </si>
  <si>
    <t xml:space="preserve">Visualizar Alertas de Stock Crítico en Dashboard</t>
  </si>
  <si>
    <t xml:space="preserve">Dashboard</t>
  </si>
  <si>
    <t xml:space="preserve">Panel con indicadores clave, listado de alertas de stock crítico y gráfico de los 10 productos con menor stock.</t>
  </si>
  <si>
    <t xml:space="preserve">CU26</t>
  </si>
  <si>
    <t xml:space="preserve">Generar Reportes de Stock, Consumo, Facturación y Costos</t>
  </si>
  <si>
    <t xml:space="preserve">Reportes</t>
  </si>
  <si>
    <t xml:space="preserve">Reportes filtrables por año, período y asignatura: stock, consumo por taller, facturas, mermas/devoluciones y costos por asignatura.</t>
  </si>
  <si>
    <t xml:space="preserve">CU27</t>
  </si>
  <si>
    <t xml:space="preserve">Exportar Reportes a Excel</t>
  </si>
  <si>
    <t xml:space="preserve">Exportación de los datos de reportes a formato Excel mediante SheetJS para su análisis externo.</t>
  </si>
  <si>
    <t xml:space="preserve">PROMEDIO GENERAL DE AVANCE</t>
  </si>
  <si>
    <t xml:space="preserve">Nota: los 27 casos de uso listados corresponden a las funcionalidades efectivamente implementadas y validadas en el sistema entregado. Las descripciones fueron ajustadas respecto a la propuesta inicial del proyecto para reflejar con precisión el alcance final desarrollado.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</si>
</sst>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i val="true"/>
      <sz val="9"/>
      <color rgb="FF80808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3DA19"/>
        <bgColor rgb="FF00FF00"/>
      </patternFill>
    </fill>
    <fill>
      <patternFill patternType="solid">
        <fgColor rgb="FFFFFFFF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2E75B6"/>
      <rgbColor rgb="FF33CCCC"/>
      <rgbColor rgb="FF53DA1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8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22.0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4" customFormat="false" ht="19.7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8" customFormat="false" ht="19.7" hidden="false" customHeight="false" outlineLevel="0" collapsed="false">
      <c r="A8" s="3" t="s">
        <v>4</v>
      </c>
    </row>
    <row r="9" customFormat="false" ht="15" hidden="false" customHeight="false" outlineLevel="0" collapsed="false">
      <c r="A9" s="5" t="s">
        <v>5</v>
      </c>
    </row>
    <row r="10" customFormat="false" ht="15" hidden="false" customHeight="false" outlineLevel="0" collapsed="false">
      <c r="A10" s="5" t="s">
        <v>6</v>
      </c>
    </row>
    <row r="11" customFormat="false" ht="15" hidden="false" customHeight="false" outlineLevel="0" collapsed="false">
      <c r="A11" s="5" t="s">
        <v>7</v>
      </c>
    </row>
    <row r="12" customFormat="false" ht="15" hidden="false" customHeight="false" outlineLevel="0" collapsed="false">
      <c r="A12" s="5" t="s">
        <v>8</v>
      </c>
    </row>
    <row r="14" customFormat="false" ht="19.7" hidden="false" customHeight="false" outlineLevel="0" collapsed="false">
      <c r="A14" s="3" t="s">
        <v>9</v>
      </c>
    </row>
    <row r="15" customFormat="false" ht="30" hidden="false" customHeight="true" outlineLevel="0" collapsed="false">
      <c r="A15" s="6" t="s">
        <v>10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</row>
    <row r="18" customFormat="false" ht="23.85" hidden="false" customHeight="false" outlineLevel="0" collapsed="false">
      <c r="A18" s="7" t="s">
        <v>11</v>
      </c>
      <c r="B18" s="7" t="s">
        <v>12</v>
      </c>
      <c r="C18" s="7" t="s">
        <v>13</v>
      </c>
      <c r="D18" s="7" t="s">
        <v>14</v>
      </c>
      <c r="E18" s="7" t="s">
        <v>15</v>
      </c>
      <c r="F18" s="7" t="s">
        <v>16</v>
      </c>
    </row>
    <row r="19" customFormat="false" ht="42" hidden="false" customHeight="true" outlineLevel="0" collapsed="false">
      <c r="A19" s="8" t="s">
        <v>17</v>
      </c>
      <c r="B19" s="9" t="s">
        <v>18</v>
      </c>
      <c r="C19" s="9" t="s">
        <v>19</v>
      </c>
      <c r="D19" s="9" t="s">
        <v>20</v>
      </c>
      <c r="E19" s="10" t="n">
        <v>1</v>
      </c>
      <c r="F19" s="9" t="s">
        <v>21</v>
      </c>
    </row>
    <row r="20" customFormat="false" ht="42" hidden="false" customHeight="true" outlineLevel="0" collapsed="false">
      <c r="A20" s="11" t="s">
        <v>22</v>
      </c>
      <c r="B20" s="12" t="s">
        <v>23</v>
      </c>
      <c r="C20" s="12" t="s">
        <v>24</v>
      </c>
      <c r="D20" s="12" t="s">
        <v>20</v>
      </c>
      <c r="E20" s="10" t="n">
        <v>1</v>
      </c>
      <c r="F20" s="12" t="s">
        <v>25</v>
      </c>
    </row>
    <row r="21" customFormat="false" ht="42" hidden="false" customHeight="true" outlineLevel="0" collapsed="false">
      <c r="A21" s="8" t="s">
        <v>26</v>
      </c>
      <c r="B21" s="9" t="s">
        <v>27</v>
      </c>
      <c r="C21" s="9" t="s">
        <v>24</v>
      </c>
      <c r="D21" s="9" t="s">
        <v>20</v>
      </c>
      <c r="E21" s="10" t="n">
        <v>1</v>
      </c>
      <c r="F21" s="9" t="s">
        <v>28</v>
      </c>
    </row>
    <row r="22" customFormat="false" ht="42" hidden="false" customHeight="true" outlineLevel="0" collapsed="false">
      <c r="A22" s="11" t="s">
        <v>29</v>
      </c>
      <c r="B22" s="12" t="s">
        <v>30</v>
      </c>
      <c r="C22" s="12" t="s">
        <v>24</v>
      </c>
      <c r="D22" s="12" t="s">
        <v>20</v>
      </c>
      <c r="E22" s="10" t="n">
        <v>1</v>
      </c>
      <c r="F22" s="12" t="s">
        <v>31</v>
      </c>
    </row>
    <row r="23" customFormat="false" ht="42" hidden="false" customHeight="true" outlineLevel="0" collapsed="false">
      <c r="A23" s="8" t="s">
        <v>32</v>
      </c>
      <c r="B23" s="9" t="s">
        <v>33</v>
      </c>
      <c r="C23" s="9" t="s">
        <v>34</v>
      </c>
      <c r="D23" s="9" t="s">
        <v>20</v>
      </c>
      <c r="E23" s="10" t="n">
        <v>1</v>
      </c>
      <c r="F23" s="9" t="s">
        <v>35</v>
      </c>
    </row>
    <row r="24" customFormat="false" ht="42" hidden="false" customHeight="true" outlineLevel="0" collapsed="false">
      <c r="A24" s="11" t="s">
        <v>36</v>
      </c>
      <c r="B24" s="12" t="s">
        <v>37</v>
      </c>
      <c r="C24" s="12" t="s">
        <v>24</v>
      </c>
      <c r="D24" s="12" t="s">
        <v>38</v>
      </c>
      <c r="E24" s="10" t="n">
        <v>1</v>
      </c>
      <c r="F24" s="12" t="s">
        <v>39</v>
      </c>
    </row>
    <row r="25" customFormat="false" ht="42" hidden="false" customHeight="true" outlineLevel="0" collapsed="false">
      <c r="A25" s="8" t="s">
        <v>40</v>
      </c>
      <c r="B25" s="9" t="s">
        <v>41</v>
      </c>
      <c r="C25" s="9" t="s">
        <v>42</v>
      </c>
      <c r="D25" s="9" t="s">
        <v>43</v>
      </c>
      <c r="E25" s="10" t="n">
        <v>1</v>
      </c>
      <c r="F25" s="9" t="s">
        <v>44</v>
      </c>
    </row>
    <row r="26" customFormat="false" ht="42" hidden="false" customHeight="true" outlineLevel="0" collapsed="false">
      <c r="A26" s="11" t="s">
        <v>45</v>
      </c>
      <c r="B26" s="12" t="s">
        <v>46</v>
      </c>
      <c r="C26" s="12" t="s">
        <v>42</v>
      </c>
      <c r="D26" s="12" t="s">
        <v>43</v>
      </c>
      <c r="E26" s="10" t="n">
        <v>1</v>
      </c>
      <c r="F26" s="12" t="s">
        <v>47</v>
      </c>
    </row>
    <row r="27" customFormat="false" ht="42" hidden="false" customHeight="true" outlineLevel="0" collapsed="false">
      <c r="A27" s="8" t="s">
        <v>48</v>
      </c>
      <c r="B27" s="9" t="s">
        <v>49</v>
      </c>
      <c r="C27" s="9" t="s">
        <v>42</v>
      </c>
      <c r="D27" s="9" t="s">
        <v>50</v>
      </c>
      <c r="E27" s="10" t="n">
        <v>1</v>
      </c>
      <c r="F27" s="9" t="s">
        <v>51</v>
      </c>
    </row>
    <row r="28" customFormat="false" ht="42" hidden="false" customHeight="true" outlineLevel="0" collapsed="false">
      <c r="A28" s="11" t="s">
        <v>52</v>
      </c>
      <c r="B28" s="12" t="s">
        <v>53</v>
      </c>
      <c r="C28" s="12" t="s">
        <v>54</v>
      </c>
      <c r="D28" s="12" t="s">
        <v>50</v>
      </c>
      <c r="E28" s="10" t="n">
        <v>1</v>
      </c>
      <c r="F28" s="12" t="s">
        <v>55</v>
      </c>
    </row>
    <row r="29" customFormat="false" ht="42" hidden="false" customHeight="true" outlineLevel="0" collapsed="false">
      <c r="A29" s="8" t="s">
        <v>56</v>
      </c>
      <c r="B29" s="9" t="s">
        <v>57</v>
      </c>
      <c r="C29" s="9" t="s">
        <v>58</v>
      </c>
      <c r="D29" s="9" t="s">
        <v>59</v>
      </c>
      <c r="E29" s="10" t="n">
        <v>1</v>
      </c>
      <c r="F29" s="9" t="s">
        <v>60</v>
      </c>
    </row>
    <row r="30" customFormat="false" ht="42" hidden="false" customHeight="true" outlineLevel="0" collapsed="false">
      <c r="A30" s="11" t="s">
        <v>61</v>
      </c>
      <c r="B30" s="12" t="s">
        <v>62</v>
      </c>
      <c r="C30" s="12" t="s">
        <v>63</v>
      </c>
      <c r="D30" s="12" t="s">
        <v>59</v>
      </c>
      <c r="E30" s="10" t="n">
        <v>1</v>
      </c>
      <c r="F30" s="12" t="s">
        <v>64</v>
      </c>
    </row>
    <row r="31" customFormat="false" ht="42" hidden="false" customHeight="true" outlineLevel="0" collapsed="false">
      <c r="A31" s="8" t="s">
        <v>65</v>
      </c>
      <c r="B31" s="9" t="s">
        <v>66</v>
      </c>
      <c r="C31" s="9" t="s">
        <v>63</v>
      </c>
      <c r="D31" s="9" t="s">
        <v>59</v>
      </c>
      <c r="E31" s="10" t="n">
        <v>1</v>
      </c>
      <c r="F31" s="9" t="s">
        <v>67</v>
      </c>
    </row>
    <row r="32" customFormat="false" ht="42" hidden="false" customHeight="true" outlineLevel="0" collapsed="false">
      <c r="A32" s="11" t="s">
        <v>68</v>
      </c>
      <c r="B32" s="12" t="s">
        <v>69</v>
      </c>
      <c r="C32" s="12" t="s">
        <v>42</v>
      </c>
      <c r="D32" s="12" t="s">
        <v>70</v>
      </c>
      <c r="E32" s="10" t="n">
        <v>1</v>
      </c>
      <c r="F32" s="12" t="s">
        <v>71</v>
      </c>
    </row>
    <row r="33" customFormat="false" ht="42" hidden="false" customHeight="true" outlineLevel="0" collapsed="false">
      <c r="A33" s="8" t="s">
        <v>72</v>
      </c>
      <c r="B33" s="9" t="s">
        <v>73</v>
      </c>
      <c r="C33" s="9" t="s">
        <v>42</v>
      </c>
      <c r="D33" s="9" t="s">
        <v>74</v>
      </c>
      <c r="E33" s="10" t="n">
        <v>1</v>
      </c>
      <c r="F33" s="9" t="s">
        <v>75</v>
      </c>
    </row>
    <row r="34" customFormat="false" ht="42" hidden="false" customHeight="true" outlineLevel="0" collapsed="false">
      <c r="A34" s="11" t="s">
        <v>76</v>
      </c>
      <c r="B34" s="12" t="s">
        <v>77</v>
      </c>
      <c r="C34" s="12" t="s">
        <v>42</v>
      </c>
      <c r="D34" s="12" t="s">
        <v>74</v>
      </c>
      <c r="E34" s="10" t="n">
        <v>1</v>
      </c>
      <c r="F34" s="12" t="s">
        <v>78</v>
      </c>
    </row>
    <row r="35" customFormat="false" ht="42" hidden="false" customHeight="true" outlineLevel="0" collapsed="false">
      <c r="A35" s="8" t="s">
        <v>79</v>
      </c>
      <c r="B35" s="9" t="s">
        <v>80</v>
      </c>
      <c r="C35" s="9" t="s">
        <v>81</v>
      </c>
      <c r="D35" s="9" t="s">
        <v>82</v>
      </c>
      <c r="E35" s="10" t="n">
        <v>1</v>
      </c>
      <c r="F35" s="9" t="s">
        <v>83</v>
      </c>
    </row>
    <row r="36" customFormat="false" ht="42" hidden="false" customHeight="true" outlineLevel="0" collapsed="false">
      <c r="A36" s="11" t="s">
        <v>84</v>
      </c>
      <c r="B36" s="12" t="s">
        <v>85</v>
      </c>
      <c r="C36" s="12" t="s">
        <v>42</v>
      </c>
      <c r="D36" s="12" t="s">
        <v>86</v>
      </c>
      <c r="E36" s="10" t="n">
        <v>1</v>
      </c>
      <c r="F36" s="12" t="s">
        <v>87</v>
      </c>
    </row>
    <row r="37" customFormat="false" ht="42" hidden="false" customHeight="true" outlineLevel="0" collapsed="false">
      <c r="A37" s="8" t="s">
        <v>88</v>
      </c>
      <c r="B37" s="9" t="s">
        <v>89</v>
      </c>
      <c r="C37" s="9" t="s">
        <v>24</v>
      </c>
      <c r="D37" s="9" t="s">
        <v>90</v>
      </c>
      <c r="E37" s="10" t="n">
        <v>1</v>
      </c>
      <c r="F37" s="9" t="s">
        <v>91</v>
      </c>
    </row>
    <row r="38" customFormat="false" ht="42" hidden="false" customHeight="true" outlineLevel="0" collapsed="false">
      <c r="A38" s="11" t="s">
        <v>92</v>
      </c>
      <c r="B38" s="12" t="s">
        <v>93</v>
      </c>
      <c r="C38" s="12" t="s">
        <v>63</v>
      </c>
      <c r="D38" s="12" t="s">
        <v>90</v>
      </c>
      <c r="E38" s="10" t="n">
        <v>1</v>
      </c>
      <c r="F38" s="12" t="s">
        <v>94</v>
      </c>
    </row>
    <row r="39" customFormat="false" ht="42" hidden="false" customHeight="true" outlineLevel="0" collapsed="false">
      <c r="A39" s="8" t="s">
        <v>95</v>
      </c>
      <c r="B39" s="9" t="s">
        <v>96</v>
      </c>
      <c r="C39" s="9" t="s">
        <v>97</v>
      </c>
      <c r="D39" s="9" t="s">
        <v>90</v>
      </c>
      <c r="E39" s="10" t="n">
        <v>1</v>
      </c>
      <c r="F39" s="9" t="s">
        <v>98</v>
      </c>
    </row>
    <row r="40" customFormat="false" ht="42" hidden="false" customHeight="true" outlineLevel="0" collapsed="false">
      <c r="A40" s="11" t="s">
        <v>99</v>
      </c>
      <c r="B40" s="12" t="s">
        <v>100</v>
      </c>
      <c r="C40" s="12" t="s">
        <v>81</v>
      </c>
      <c r="D40" s="12" t="s">
        <v>101</v>
      </c>
      <c r="E40" s="10" t="n">
        <v>1</v>
      </c>
      <c r="F40" s="12" t="s">
        <v>102</v>
      </c>
    </row>
    <row r="41" customFormat="false" ht="42" hidden="false" customHeight="true" outlineLevel="0" collapsed="false">
      <c r="A41" s="8" t="s">
        <v>103</v>
      </c>
      <c r="B41" s="9" t="s">
        <v>104</v>
      </c>
      <c r="C41" s="9" t="s">
        <v>54</v>
      </c>
      <c r="D41" s="9" t="s">
        <v>105</v>
      </c>
      <c r="E41" s="10" t="n">
        <v>1</v>
      </c>
      <c r="F41" s="9" t="s">
        <v>106</v>
      </c>
    </row>
    <row r="42" customFormat="false" ht="42" hidden="false" customHeight="true" outlineLevel="0" collapsed="false">
      <c r="A42" s="11" t="s">
        <v>107</v>
      </c>
      <c r="B42" s="12" t="s">
        <v>108</v>
      </c>
      <c r="C42" s="12" t="s">
        <v>97</v>
      </c>
      <c r="D42" s="12" t="s">
        <v>109</v>
      </c>
      <c r="E42" s="10" t="n">
        <v>1</v>
      </c>
      <c r="F42" s="12" t="s">
        <v>110</v>
      </c>
    </row>
    <row r="43" customFormat="false" ht="42" hidden="false" customHeight="true" outlineLevel="0" collapsed="false">
      <c r="A43" s="8" t="s">
        <v>111</v>
      </c>
      <c r="B43" s="9" t="s">
        <v>112</v>
      </c>
      <c r="C43" s="9" t="s">
        <v>34</v>
      </c>
      <c r="D43" s="9" t="s">
        <v>113</v>
      </c>
      <c r="E43" s="10" t="n">
        <v>1</v>
      </c>
      <c r="F43" s="9" t="s">
        <v>114</v>
      </c>
    </row>
    <row r="44" customFormat="false" ht="42" hidden="false" customHeight="true" outlineLevel="0" collapsed="false">
      <c r="A44" s="11" t="s">
        <v>115</v>
      </c>
      <c r="B44" s="12" t="s">
        <v>116</v>
      </c>
      <c r="C44" s="12" t="s">
        <v>24</v>
      </c>
      <c r="D44" s="12" t="s">
        <v>117</v>
      </c>
      <c r="E44" s="10" t="n">
        <v>1</v>
      </c>
      <c r="F44" s="12" t="s">
        <v>118</v>
      </c>
    </row>
    <row r="45" customFormat="false" ht="42" hidden="false" customHeight="true" outlineLevel="0" collapsed="false">
      <c r="A45" s="8" t="s">
        <v>119</v>
      </c>
      <c r="B45" s="9" t="s">
        <v>120</v>
      </c>
      <c r="C45" s="9" t="s">
        <v>24</v>
      </c>
      <c r="D45" s="9" t="s">
        <v>117</v>
      </c>
      <c r="E45" s="10" t="n">
        <v>1</v>
      </c>
      <c r="F45" s="9" t="s">
        <v>121</v>
      </c>
    </row>
    <row r="46" customFormat="false" ht="15" hidden="false" customHeight="false" outlineLevel="0" collapsed="false">
      <c r="A46" s="13"/>
      <c r="B46" s="13"/>
      <c r="C46" s="13"/>
      <c r="D46" s="14" t="s">
        <v>122</v>
      </c>
      <c r="E46" s="15" t="n">
        <f aca="false">AVERAGE(E19:E45)</f>
        <v>1</v>
      </c>
      <c r="F46" s="13"/>
    </row>
    <row r="48" customFormat="false" ht="30" hidden="false" customHeight="true" outlineLevel="0" collapsed="false">
      <c r="A48" s="16" t="s">
        <v>123</v>
      </c>
      <c r="B48" s="16"/>
      <c r="C48" s="16"/>
      <c r="D48" s="16"/>
      <c r="E48" s="16"/>
      <c r="F48" s="16"/>
    </row>
  </sheetData>
  <mergeCells count="3">
    <mergeCell ref="A5:F6"/>
    <mergeCell ref="A15:F16"/>
    <mergeCell ref="A48:F4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2026-06-20T14:18:11Z</dcterms:created>
  <dc:creator>openpyxl</dc:creator>
  <dc:description/>
  <dc:language>en-US</dc:language>
  <cp:lastModifiedBy/>
  <dcterms:modified xsi:type="dcterms:W3CDTF">2026-06-20T14:18:11Z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